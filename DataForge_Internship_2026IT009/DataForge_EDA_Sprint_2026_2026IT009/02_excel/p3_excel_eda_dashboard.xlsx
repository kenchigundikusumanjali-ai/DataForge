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ch\Desktop\DataForge\DataForge_Internship_2026IT009\DataForge_EDA_Sprint_2026_2026IT009\02_excel\"/>
    </mc:Choice>
  </mc:AlternateContent>
  <xr:revisionPtr revIDLastSave="0" documentId="13_ncr:1_{97331781-0857-4139-BB01-E94B1CC0DB02}" xr6:coauthVersionLast="47" xr6:coauthVersionMax="47" xr10:uidLastSave="{00000000-0000-0000-0000-000000000000}"/>
  <bookViews>
    <workbookView xWindow="-108" yWindow="-108" windowWidth="23256" windowHeight="12456" activeTab="3" xr2:uid="{3CE7C205-812B-4FD2-B8A3-4A42C4B1B4F1}"/>
  </bookViews>
  <sheets>
    <sheet name="Pivot_Department" sheetId="7" r:id="rId1"/>
    <sheet name="Pivot_Performance" sheetId="13" r:id="rId2"/>
    <sheet name="Pivot_Diary" sheetId="14" r:id="rId3"/>
    <sheet name="Dashboard" sheetId="15" r:id="rId4"/>
    <sheet name="week_2_3_exam_student_signals" sheetId="1" r:id="rId5"/>
    <sheet name="Summary_Stats" sheetId="2" r:id="rId6"/>
  </sheets>
  <calcPr calcId="191029"/>
  <pivotCaches>
    <pivotCache cacheId="4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<sst xmlns="http://schemas.openxmlformats.org/spreadsheetml/2006/main" count="61" uniqueCount="42">
  <si>
    <t>student_id</t>
  </si>
  <si>
    <t>name</t>
  </si>
  <si>
    <t>department</t>
  </si>
  <si>
    <t>attendance_pct</t>
  </si>
  <si>
    <t>diary_entries</t>
  </si>
  <si>
    <t>tasks_completed</t>
  </si>
  <si>
    <t>assignment_score</t>
  </si>
  <si>
    <t>lab_score</t>
  </si>
  <si>
    <t>2026CS001</t>
  </si>
  <si>
    <t>Aditi</t>
  </si>
  <si>
    <t>Computer Engineering</t>
  </si>
  <si>
    <t>2026CS002</t>
  </si>
  <si>
    <t>Bhavana</t>
  </si>
  <si>
    <t>2026IT001</t>
  </si>
  <si>
    <t>Chaitra</t>
  </si>
  <si>
    <t>Information Technology</t>
  </si>
  <si>
    <t>2026IT002</t>
  </si>
  <si>
    <t>Divya</t>
  </si>
  <si>
    <t>2026CE001</t>
  </si>
  <si>
    <t>Esha</t>
  </si>
  <si>
    <t>Civil Engineering</t>
  </si>
  <si>
    <t>2026CE002</t>
  </si>
  <si>
    <t>Fatima</t>
  </si>
  <si>
    <t>2026CS003</t>
  </si>
  <si>
    <t>Gauri</t>
  </si>
  <si>
    <t>2026IT003</t>
  </si>
  <si>
    <t>Harshada</t>
  </si>
  <si>
    <t>Metric</t>
  </si>
  <si>
    <t>Count</t>
  </si>
  <si>
    <t>Average</t>
  </si>
  <si>
    <t>Min</t>
  </si>
  <si>
    <t>Max</t>
  </si>
  <si>
    <t>Median</t>
  </si>
  <si>
    <t>Std Dev</t>
  </si>
  <si>
    <t>Row Labels</t>
  </si>
  <si>
    <t>Grand Total</t>
  </si>
  <si>
    <t>Sum of lab_score</t>
  </si>
  <si>
    <t>Average of assignment_score</t>
  </si>
  <si>
    <t>Sum of tasks_completed</t>
  </si>
  <si>
    <t>Average of attendance_pct</t>
  </si>
  <si>
    <t>Average of diary_entries</t>
  </si>
  <si>
    <t>Student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</si>
</sst>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[p3_excel_eda_dashboard.xlsx]Pivot_Department!PivotTable4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Department vs Assignment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Pivot_Department!$B$3</c:f>
              <c:strCache>
                <c:ptCount val="1"/>
                <c:pt idx="0">
                  <c:v>Average of assignment_score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Pivot_Department!$A$4:$A$7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Pivot_Department!$B$4:$B$7</c:f>
              <c:numCache>
                <c:formatCode>General</c:formatCode>
                <c:ptCount val="3"/>
                <c:pt idx="0">
                  <c:v>72.5</c:v>
                </c:pt>
                <c:pt idx="1">
                  <c:v>77.666666666666671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7-4EFC-B919-67EEB6CFF894}"/>
            </c:ext>
          </c:extLst>
        </c:ser>
        <c:ser>
          <c:idx val="1"/>
          <c:order val="1"/>
          <c:tx>
            <c:strRef>
              <c:f>Pivot_Department!$C$3</c:f>
              <c:strCache>
                <c:ptCount val="1"/>
                <c:pt idx="0">
                  <c:v>Sum of lab_score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Pivot_Department!$A$4:$A$7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Pivot_Department!$C$4:$C$7</c:f>
              <c:numCache>
                <c:formatCode>General</c:formatCode>
                <c:ptCount val="3"/>
                <c:pt idx="0">
                  <c:v>151</c:v>
                </c:pt>
                <c:pt idx="1">
                  <c:v>243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7-4EFC-B919-67EEB6CFF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913119"/>
        <c:axId val="960268047"/>
      </c:barChart>
      <c:catAx>
        <c:axId val="97191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68047"/>
        <c:crosses val="autoZero"/>
        <c:auto val="1"/>
        <c:lblAlgn val="ctr"/>
        <c:lblOffset val="100"/>
        <c:noMultiLvlLbl val="0"/>
      </c:catAx>
      <c:valAx>
        <c:axId val="9602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1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[p3_excel_eda_dashboard.xlsx]Pivot_Performance!PivotTable10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Pivot_Performance!$B$3</c:f>
              <c:strCache>
                <c:ptCount val="1"/>
                <c:pt idx="0">
                  <c:v>Average of attendance_pct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Pivot_Performance!$A$4:$A$7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Pivot_Performance!$B$4:$B$7</c:f>
              <c:numCache>
                <c:formatCode>General</c:formatCode>
                <c:ptCount val="3"/>
                <c:pt idx="0">
                  <c:v>79.5</c:v>
                </c:pt>
                <c:pt idx="1">
                  <c:v>84</c:v>
                </c:pt>
                <c:pt idx="2">
                  <c:v>58.666666666666664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D-4181-BD6D-8A07EE85BC59}"/>
            </c:ext>
          </c:extLst>
        </c:ser>
        <c:ser>
          <c:idx val="1"/>
          <c:order val="1"/>
          <c:tx>
            <c:strRef>
              <c:f>Pivot_Performance!$C$3</c:f>
              <c:strCache>
                <c:ptCount val="1"/>
                <c:pt idx="0">
                  <c:v>Sum of tasks_completed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Pivot_Performance!$A$4:$A$7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Pivot_Performance!$C$4:$C$7</c:f>
              <c:numCache>
                <c:formatCode>General</c:formatCode>
                <c:ptCount val="3"/>
                <c:pt idx="0">
                  <c:v>14</c:v>
                </c:pt>
                <c:pt idx="1">
                  <c:v>22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D-4181-BD6D-8A07EE85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033599"/>
        <c:axId val="966166991"/>
      </c:barChart>
      <c:catAx>
        <c:axId val="15550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66991"/>
        <c:crosses val="autoZero"/>
        <c:auto val="1"/>
        <c:lblAlgn val="ctr"/>
        <c:lblOffset val="100"/>
        <c:noMultiLvlLbl val="0"/>
      </c:catAx>
      <c:valAx>
        <c:axId val="9661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[p3_excel_eda_dashboard.xlsx]Pivot_Diary!PivotTable11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Diary Entries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Pivot_Diary!$B$3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Pivot_Diary!$A$4:$A$7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Pivot_Diary!$B$4:$B$7</c:f>
              <c:numCache>
                <c:formatCode>General</c:formatCode>
                <c:ptCount val="3"/>
                <c:pt idx="0">
                  <c:v>9</c:v>
                </c:pt>
                <c:pt idx="1">
                  <c:v>10.666666666666666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B-419C-8C2E-8CB418A1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[p3_excel_eda_dashboard.xlsx]Pivot_Department!PivotTable4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Department vs Assignment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Pivot_Department!$B$3</c:f>
              <c:strCache>
                <c:ptCount val="1"/>
                <c:pt idx="0">
                  <c:v>Average of assignment_score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Pivot_Department!$A$4:$A$7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Pivot_Department!$B$4:$B$7</c:f>
              <c:numCache>
                <c:formatCode>General</c:formatCode>
                <c:ptCount val="3"/>
                <c:pt idx="0">
                  <c:v>72.5</c:v>
                </c:pt>
                <c:pt idx="1">
                  <c:v>77.666666666666671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1-43A0-8A05-75046EA46A4B}"/>
            </c:ext>
          </c:extLst>
        </c:ser>
        <c:ser>
          <c:idx val="1"/>
          <c:order val="1"/>
          <c:tx>
            <c:strRef>
              <c:f>Pivot_Department!$C$3</c:f>
              <c:strCache>
                <c:ptCount val="1"/>
                <c:pt idx="0">
                  <c:v>Sum of lab_score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Pivot_Department!$A$4:$A$7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Pivot_Department!$C$4:$C$7</c:f>
              <c:numCache>
                <c:formatCode>General</c:formatCode>
                <c:ptCount val="3"/>
                <c:pt idx="0">
                  <c:v>151</c:v>
                </c:pt>
                <c:pt idx="1">
                  <c:v>243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1-43A0-8A05-75046EA4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913119"/>
        <c:axId val="960268047"/>
      </c:barChart>
      <c:catAx>
        <c:axId val="97191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68047"/>
        <c:crosses val="autoZero"/>
        <c:auto val="1"/>
        <c:lblAlgn val="ctr"/>
        <c:lblOffset val="100"/>
        <c:noMultiLvlLbl val="0"/>
      </c:catAx>
      <c:valAx>
        <c:axId val="9602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1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[p3_excel_eda_dashboard.xlsx]Pivot_Performance!PivotTable10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Pivot_Performance!$B$3</c:f>
              <c:strCache>
                <c:ptCount val="1"/>
                <c:pt idx="0">
                  <c:v>Average of attendance_pct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Pivot_Performance!$A$4:$A$7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Pivot_Performance!$B$4:$B$7</c:f>
              <c:numCache>
                <c:formatCode>General</c:formatCode>
                <c:ptCount val="3"/>
                <c:pt idx="0">
                  <c:v>79.5</c:v>
                </c:pt>
                <c:pt idx="1">
                  <c:v>84</c:v>
                </c:pt>
                <c:pt idx="2">
                  <c:v>58.666666666666664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F-493E-B953-61A04F09FA39}"/>
            </c:ext>
          </c:extLst>
        </c:ser>
        <c:ser>
          <c:idx val="1"/>
          <c:order val="1"/>
          <c:tx>
            <c:strRef>
              <c:f>Pivot_Performance!$C$3</c:f>
              <c:strCache>
                <c:ptCount val="1"/>
                <c:pt idx="0">
                  <c:v>Sum of tasks_completed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Pivot_Performance!$A$4:$A$7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Pivot_Performance!$C$4:$C$7</c:f>
              <c:numCache>
                <c:formatCode>General</c:formatCode>
                <c:ptCount val="3"/>
                <c:pt idx="0">
                  <c:v>14</c:v>
                </c:pt>
                <c:pt idx="1">
                  <c:v>22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F-493E-B953-61A04F09F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033599"/>
        <c:axId val="966166991"/>
      </c:barChart>
      <c:catAx>
        <c:axId val="15550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66991"/>
        <c:crosses val="autoZero"/>
        <c:auto val="1"/>
        <c:lblAlgn val="ctr"/>
        <c:lblOffset val="100"/>
        <c:noMultiLvlLbl val="0"/>
      </c:catAx>
      <c:valAx>
        <c:axId val="9661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[p3_excel_eda_dashboard.xlsx]Pivot_Diary!PivotTable11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Diary Entries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Pivot_Diary!$B$3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30-45D9-B8E2-C9940E2CD9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0-45D9-B8E2-C9940E2CD9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0-45D9-B8E2-C9940E2CD9D1}"/>
              </c:ext>
            </c:extLst>
          </c:dPt>
          <c:cat>
            <c:strRef>
              <c:f>Pivot_Diary!$A$4:$A$7</c:f>
              <c:strCache>
                <c:ptCount val="3"/>
                <c:pt idx="0">
                  <c:v>Civil Engineering</c:v>
                </c:pt>
                <c:pt idx="1">
                  <c:v>Computer Engineering</c:v>
                </c:pt>
                <c:pt idx="2">
                  <c:v>Information Technology</c:v>
                </c:pt>
              </c:strCache>
            </c:strRef>
          </c:cat>
          <c:val>
            <c:numRef>
              <c:f>Pivot_Diary!$B$4:$B$7</c:f>
              <c:numCache>
                <c:formatCode>General</c:formatCode>
                <c:ptCount val="3"/>
                <c:pt idx="0">
                  <c:v>9</c:v>
                </c:pt>
                <c:pt idx="1">
                  <c:v>10.666666666666666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30-45D9-B8E2-C9940E2C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7</xdr:row>
      <xdr:rowOff>72390</xdr:rowOff>
    </xdr:from>
    <xdr:to>
      <xdr:col>8</xdr:col>
      <xdr:colOff>548640</xdr:colOff>
      <xdr:row>22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CD8635-EFFB-F5B7-75D4-631579312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179070</xdr:colOff>
      <xdr:row>6</xdr:row>
      <xdr:rowOff>41910</xdr:rowOff>
    </xdr:from>
    <xdr:to>
      <xdr:col>10</xdr:col>
      <xdr:colOff>483870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3C58B-2A82-962E-A1A4-4AA26F9EA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605790</xdr:colOff>
      <xdr:row>6</xdr:row>
      <xdr:rowOff>41910</xdr:rowOff>
    </xdr:from>
    <xdr:to>
      <xdr:col>12</xdr:col>
      <xdr:colOff>300990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4215F-790E-6295-4DC0-4393F4618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38100</xdr:rowOff>
    </xdr:from>
    <xdr:to>
      <xdr:col>6</xdr:col>
      <xdr:colOff>487680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98894-8B94-43E5-ACD1-F4AF59133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236220</xdr:colOff>
      <xdr:row>4</xdr:row>
      <xdr:rowOff>30480</xdr:rowOff>
    </xdr:from>
    <xdr:to>
      <xdr:col>13</xdr:col>
      <xdr:colOff>472440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5B95E-6248-4AFE-8905-7B21B7630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251460</xdr:colOff>
      <xdr:row>4</xdr:row>
      <xdr:rowOff>60960</xdr:rowOff>
    </xdr:from>
    <xdr:to>
      <xdr:col>19</xdr:col>
      <xdr:colOff>320040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BF11CA-4FDF-46DB-A337-6FE5C6FCD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UMANJALI KENCHIGUNDI" refreshedDate="46204.868972453703" createdVersion="8" refreshedVersion="8" minRefreshableVersion="3" recordCount="8" xr:uid="{68453C44-BAFF-4F78-A41D-88E774A9B2D8}">
  <cacheSource type="worksheet">
    <worksheetSource ref="A1:H9" sheet="week_2_3_exam_student_signals"/>
  </cacheSource>
  <cacheFields count="8">
    <cacheField name="student_id" numFmtId="0">
      <sharedItems/>
    </cacheField>
    <cacheField name="name" numFmtId="0">
      <sharedItems/>
    </cacheField>
    <cacheField name="department" numFmtId="0">
      <sharedItems count="3">
        <s v="Computer Engineering"/>
        <s v="Information Technology"/>
        <s v="Civil Engineering"/>
      </sharedItems>
    </cacheField>
    <cacheField name="attendance_pct" numFmtId="0">
      <sharedItems containsSemiMixedTypes="0" containsString="0" containsNumber="1" containsInteger="1" minValue="43" maxValue="96"/>
    </cacheField>
    <cacheField name="diary_entries" numFmtId="0">
      <sharedItems containsSemiMixedTypes="0" containsString="0" containsNumber="1" containsInteger="1" minValue="2" maxValue="14"/>
    </cacheField>
    <cacheField name="tasks_completed" numFmtId="0">
      <sharedItems containsSemiMixedTypes="0" containsString="0" containsNumber="1" containsInteger="1" minValue="2" maxValue="9"/>
    </cacheField>
    <cacheField name="assignment_score" numFmtId="0">
      <sharedItems containsSemiMixedTypes="0" containsString="0" containsNumber="1" containsInteger="1" minValue="35" maxValue="91"/>
    </cacheField>
    <cacheField name="lab_score" numFmtId="0">
      <sharedItems containsSemiMixedTypes="0" containsString="0" containsNumber="1" containsInteger="1" minValue="41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2026CS001"/>
    <s v="Aditi"/>
    <x v="0"/>
    <n v="92"/>
    <n v="12"/>
    <n v="8"/>
    <n v="84"/>
    <n v="88"/>
  </r>
  <r>
    <s v="2026CS002"/>
    <s v="Bhavana"/>
    <x v="0"/>
    <n v="64"/>
    <n v="6"/>
    <n v="5"/>
    <n v="58"/>
    <n v="61"/>
  </r>
  <r>
    <s v="2026IT001"/>
    <s v="Chaitra"/>
    <x v="1"/>
    <n v="78"/>
    <n v="9"/>
    <n v="7"/>
    <n v="72"/>
    <n v="76"/>
  </r>
  <r>
    <s v="2026IT002"/>
    <s v="Divya"/>
    <x v="1"/>
    <n v="55"/>
    <n v="4"/>
    <n v="3"/>
    <n v="46"/>
    <n v="52"/>
  </r>
  <r>
    <s v="2026CE001"/>
    <s v="Esha"/>
    <x v="2"/>
    <n v="88"/>
    <n v="10"/>
    <n v="8"/>
    <n v="79"/>
    <n v="82"/>
  </r>
  <r>
    <s v="2026CE002"/>
    <s v="Fatima"/>
    <x v="2"/>
    <n v="71"/>
    <n v="8"/>
    <n v="6"/>
    <n v="66"/>
    <n v="69"/>
  </r>
  <r>
    <s v="2026CS003"/>
    <s v="Gauri"/>
    <x v="0"/>
    <n v="96"/>
    <n v="14"/>
    <n v="9"/>
    <n v="91"/>
    <n v="94"/>
  </r>
  <r>
    <s v="2026IT003"/>
    <s v="Harshada"/>
    <x v="1"/>
    <n v="43"/>
    <n v="2"/>
    <n v="2"/>
    <n v="35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5035D-BC79-4E15-947D-42C7FF11E90D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8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ssignment_score" fld="6" subtotal="average" baseField="2" baseItem="0"/>
    <dataField name="Sum of lab_score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85627-DD33-4315-ADCE-53E2967BC130}" name="PivotTable1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8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endance_pct" fld="3" subtotal="average" baseField="2" baseItem="0"/>
    <dataField name="Sum of tasks_completed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999E5-4709-42FD-B17A-E7D9F5B49FC2}" name="PivotTable1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ary_entries" fld="4" subtotal="average" baseField="2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819-C48F-4C79-97C7-2C8BCA1A59F0}">
  <dimension ref="A3:C7"/>
  <sheetViews>
    <sheetView topLeftCell="A2" workbookViewId="0">
      <selection activeCell="A3" sqref="A3:C7"/>
    </sheetView>
  </sheetViews>
  <sheetFormatPr defaultRowHeight="14.4"/>
  <cols>
    <col min="1" max="1" width="19.77734375" bestFit="1" customWidth="1"/>
    <col min="2" max="2" width="25" bestFit="1" customWidth="1"/>
    <col min="3" max="3" width="15.109375" bestFit="1" customWidth="1"/>
  </cols>
  <sheetData>
    <row r="3" spans="1:3">
      <c r="A3" s="4" t="s">
        <v>34</v>
      </c>
      <c r="B3" t="s">
        <v>37</v>
      </c>
      <c r="C3" t="s">
        <v>36</v>
      </c>
    </row>
    <row r="4" spans="1:3">
      <c r="A4" s="5" t="s">
        <v>20</v>
      </c>
      <c r="B4" s="6">
        <v>72.5</v>
      </c>
      <c r="C4" s="6">
        <v>151</v>
      </c>
    </row>
    <row r="5" spans="1:3">
      <c r="A5" s="5" t="s">
        <v>10</v>
      </c>
      <c r="B5" s="6">
        <v>77.666666666666671</v>
      </c>
      <c r="C5" s="6">
        <v>243</v>
      </c>
    </row>
    <row r="6" spans="1:3">
      <c r="A6" s="5" t="s">
        <v>15</v>
      </c>
      <c r="B6" s="6">
        <v>51</v>
      </c>
      <c r="C6" s="6">
        <v>169</v>
      </c>
    </row>
    <row r="7" spans="1:3">
      <c r="A7" s="5" t="s">
        <v>35</v>
      </c>
      <c r="B7" s="6">
        <v>66.375</v>
      </c>
      <c r="C7" s="6">
        <v>563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C5A5-221C-40B6-8367-0C0E985C6723}">
  <dimension ref="A3:C7"/>
  <sheetViews>
    <sheetView workbookViewId="0">
      <selection activeCell="A3" sqref="A3:C7"/>
    </sheetView>
  </sheetViews>
  <sheetFormatPr defaultRowHeight="14.4"/>
  <cols>
    <col min="1" max="1" width="19.77734375" bestFit="1" customWidth="1"/>
    <col min="2" max="2" width="23.109375" bestFit="1" customWidth="1"/>
    <col min="3" max="3" width="21.6640625" bestFit="1" customWidth="1"/>
  </cols>
  <sheetData>
    <row r="3" spans="1:3">
      <c r="A3" s="4" t="s">
        <v>34</v>
      </c>
      <c r="B3" t="s">
        <v>39</v>
      </c>
      <c r="C3" t="s">
        <v>38</v>
      </c>
    </row>
    <row r="4" spans="1:3">
      <c r="A4" s="5" t="s">
        <v>20</v>
      </c>
      <c r="B4" s="6">
        <v>79.5</v>
      </c>
      <c r="C4" s="6">
        <v>14</v>
      </c>
    </row>
    <row r="5" spans="1:3">
      <c r="A5" s="5" t="s">
        <v>10</v>
      </c>
      <c r="B5" s="6">
        <v>84</v>
      </c>
      <c r="C5" s="6">
        <v>22</v>
      </c>
    </row>
    <row r="6" spans="1:3">
      <c r="A6" s="5" t="s">
        <v>15</v>
      </c>
      <c r="B6" s="6">
        <v>58.666666666666664</v>
      </c>
      <c r="C6" s="6">
        <v>12</v>
      </c>
    </row>
    <row r="7" spans="1:3">
      <c r="A7" s="5" t="s">
        <v>35</v>
      </c>
      <c r="B7" s="6">
        <v>73.375</v>
      </c>
      <c r="C7" s="6">
        <v>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67CF-9F32-438D-BCAF-E48A13931180}">
  <dimension ref="A3:B7"/>
  <sheetViews>
    <sheetView workbookViewId="0">
      <selection activeCell="L23" sqref="L23"/>
    </sheetView>
  </sheetViews>
  <sheetFormatPr defaultRowHeight="14.4"/>
  <cols>
    <col min="1" max="1" width="19.77734375" bestFit="1" customWidth="1"/>
    <col min="2" max="2" width="20.77734375" bestFit="1" customWidth="1"/>
  </cols>
  <sheetData>
    <row r="3" spans="1:2">
      <c r="A3" s="4" t="s">
        <v>34</v>
      </c>
      <c r="B3" t="s">
        <v>40</v>
      </c>
    </row>
    <row r="4" spans="1:2">
      <c r="A4" s="5" t="s">
        <v>20</v>
      </c>
      <c r="B4" s="6">
        <v>9</v>
      </c>
    </row>
    <row r="5" spans="1:2">
      <c r="A5" s="5" t="s">
        <v>10</v>
      </c>
      <c r="B5" s="6">
        <v>10.666666666666666</v>
      </c>
    </row>
    <row r="6" spans="1:2">
      <c r="A6" s="5" t="s">
        <v>15</v>
      </c>
      <c r="B6" s="6">
        <v>5</v>
      </c>
    </row>
    <row r="7" spans="1:2">
      <c r="A7" s="5" t="s">
        <v>35</v>
      </c>
      <c r="B7" s="6">
        <v>8.125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7EEA-A012-4B2B-AF30-0881223485D1}">
  <dimension ref="A1:C1"/>
  <sheetViews>
    <sheetView tabSelected="1" workbookViewId="0">
      <selection activeCell="R19" sqref="R19"/>
    </sheetView>
  </sheetViews>
  <sheetFormatPr defaultRowHeight="14.4"/>
  <sheetData>
    <row r="1" spans="1:3" ht="25.8">
      <c r="A1" s="7" t="s">
        <v>41</v>
      </c>
      <c r="B1" s="7"/>
      <c r="C1" s="7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6BB0-0EF3-40CA-B081-71113C9B8D6C}">
  <dimension ref="A1:H9"/>
  <sheetViews>
    <sheetView workbookViewId="0">
      <selection sqref="A1:H9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92</v>
      </c>
      <c r="E2">
        <v>12</v>
      </c>
      <c r="F2">
        <v>8</v>
      </c>
      <c r="G2">
        <v>84</v>
      </c>
      <c r="H2">
        <v>88</v>
      </c>
    </row>
    <row r="3" spans="1:8">
      <c r="A3" t="s">
        <v>11</v>
      </c>
      <c r="B3" t="s">
        <v>12</v>
      </c>
      <c r="C3" t="s">
        <v>10</v>
      </c>
      <c r="D3">
        <v>64</v>
      </c>
      <c r="E3">
        <v>6</v>
      </c>
      <c r="F3">
        <v>5</v>
      </c>
      <c r="G3">
        <v>58</v>
      </c>
      <c r="H3">
        <v>61</v>
      </c>
    </row>
    <row r="4" spans="1:8">
      <c r="A4" t="s">
        <v>13</v>
      </c>
      <c r="B4" t="s">
        <v>14</v>
      </c>
      <c r="C4" t="s">
        <v>15</v>
      </c>
      <c r="D4">
        <v>78</v>
      </c>
      <c r="E4">
        <v>9</v>
      </c>
      <c r="F4">
        <v>7</v>
      </c>
      <c r="G4">
        <v>72</v>
      </c>
      <c r="H4">
        <v>76</v>
      </c>
    </row>
    <row r="5" spans="1:8">
      <c r="A5" t="s">
        <v>16</v>
      </c>
      <c r="B5" t="s">
        <v>17</v>
      </c>
      <c r="C5" t="s">
        <v>15</v>
      </c>
      <c r="D5">
        <v>55</v>
      </c>
      <c r="E5">
        <v>4</v>
      </c>
      <c r="F5">
        <v>3</v>
      </c>
      <c r="G5">
        <v>46</v>
      </c>
      <c r="H5">
        <v>52</v>
      </c>
    </row>
    <row r="6" spans="1:8">
      <c r="A6" t="s">
        <v>18</v>
      </c>
      <c r="B6" t="s">
        <v>19</v>
      </c>
      <c r="C6" t="s">
        <v>20</v>
      </c>
      <c r="D6">
        <v>88</v>
      </c>
      <c r="E6">
        <v>10</v>
      </c>
      <c r="F6">
        <v>8</v>
      </c>
      <c r="G6">
        <v>79</v>
      </c>
      <c r="H6">
        <v>82</v>
      </c>
    </row>
    <row r="7" spans="1:8">
      <c r="A7" t="s">
        <v>21</v>
      </c>
      <c r="B7" t="s">
        <v>22</v>
      </c>
      <c r="C7" t="s">
        <v>20</v>
      </c>
      <c r="D7">
        <v>71</v>
      </c>
      <c r="E7">
        <v>8</v>
      </c>
      <c r="F7">
        <v>6</v>
      </c>
      <c r="G7">
        <v>66</v>
      </c>
      <c r="H7">
        <v>69</v>
      </c>
    </row>
    <row r="8" spans="1:8">
      <c r="A8" t="s">
        <v>23</v>
      </c>
      <c r="B8" t="s">
        <v>24</v>
      </c>
      <c r="C8" t="s">
        <v>10</v>
      </c>
      <c r="D8">
        <v>96</v>
      </c>
      <c r="E8">
        <v>14</v>
      </c>
      <c r="F8">
        <v>9</v>
      </c>
      <c r="G8">
        <v>91</v>
      </c>
      <c r="H8">
        <v>94</v>
      </c>
    </row>
    <row r="9" spans="1:8">
      <c r="A9" t="s">
        <v>25</v>
      </c>
      <c r="B9" t="s">
        <v>26</v>
      </c>
      <c r="C9" t="s">
        <v>15</v>
      </c>
      <c r="D9">
        <v>43</v>
      </c>
      <c r="E9">
        <v>2</v>
      </c>
      <c r="F9">
        <v>2</v>
      </c>
      <c r="G9">
        <v>35</v>
      </c>
      <c r="H9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27D0-A513-4F54-A3FA-042C196D3B8C}">
  <dimension ref="A1:B7"/>
  <sheetViews>
    <sheetView workbookViewId="0">
      <selection activeCell="B8" sqref="B8"/>
    </sheetView>
  </sheetViews>
  <sheetFormatPr defaultRowHeight="14.4"/>
  <sheetData>
    <row r="1" spans="1:2" ht="28.8">
      <c r="A1" s="1" t="s">
        <v>27</v>
      </c>
      <c r="B1" s="1" t="s">
        <v>3</v>
      </c>
    </row>
    <row r="2" spans="1:2">
      <c r="A2" s="2" t="s">
        <v>28</v>
      </c>
      <c r="B2" s="3">
        <f>COUNT(D2:D9)</f>
        <v>0</v>
      </c>
    </row>
    <row r="3" spans="1:2">
      <c r="A3" s="2" t="s">
        <v>29</v>
      </c>
      <c r="B3" t="e">
        <f>AVERAGE(D2:D9)</f>
        <v>#DIV/0!</v>
      </c>
    </row>
    <row r="4" spans="1:2">
      <c r="A4" s="2" t="s">
        <v>30</v>
      </c>
      <c r="B4">
        <f>MIN(D2:D9)</f>
        <v>0</v>
      </c>
    </row>
    <row r="5" spans="1:2">
      <c r="A5" s="2" t="s">
        <v>31</v>
      </c>
      <c r="B5">
        <f>MAX(D2:D9)</f>
        <v>0</v>
      </c>
    </row>
    <row r="6" spans="1:2">
      <c r="A6" s="2" t="s">
        <v>32</v>
      </c>
      <c r="B6" t="e">
        <f>MEDIAN(D2:D9)</f>
        <v>#NUM!</v>
      </c>
    </row>
    <row r="7" spans="1:2">
      <c r="A7" s="2" t="s">
        <v>33</v>
      </c>
      <c r="B7" t="e">
        <f>_xlfn.STDEV.S(D2:D9)</f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Pivot_Department</vt:lpstr>
      <vt:lpstr>Pivot_Performance</vt:lpstr>
      <vt:lpstr>Pivot_Diary</vt:lpstr>
      <vt:lpstr>Dashboard</vt:lpstr>
      <vt:lpstr>week_2_3_exam_student_signals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KUSUMANJALI KENCHIGUNDI</dc:creator>
  <cp:lastModifiedBy>KUSUMANJALI KENCHIGUNDI</cp:lastModifiedBy>
  <dcterms:created xsi:type="dcterms:W3CDTF">2026-07-01T06:07:38Z</dcterms:created>
  <dcterms:modified xsi:type="dcterms:W3CDTF">2026-07-01T16:51:49Z</dcterms:modified>
</cp:coreProperties>
</file>